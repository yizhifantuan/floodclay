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Graduate\Flood monitoring\Flood monitoring\tool\outputs\20261030_satellite_dates\"/>
    </mc:Choice>
  </mc:AlternateContent>
  <xr:revisionPtr revIDLastSave="0" documentId="13_ncr:1_{15D3140A-BFB9-461D-8F9C-41603686CB89}" xr6:coauthVersionLast="47" xr6:coauthVersionMax="47" xr10:uidLastSave="{00000000-0000-0000-0000-000000000000}"/>
  <bookViews>
    <workbookView xWindow="-38520" yWindow="2265" windowWidth="38640" windowHeight="21120" activeTab="1" xr2:uid="{00000000-000D-0000-FFFF-FFFF00000000}"/>
  </bookViews>
  <sheets>
    <sheet name="地区汇总" sheetId="1" r:id="rId1"/>
    <sheet name="日期列表" sheetId="2" r:id="rId2"/>
  </sheets>
  <calcPr calcId="191029"/>
</workbook>
</file>

<file path=xl/calcChain.xml><?xml version="1.0" encoding="utf-8"?>
<calcChain xmlns="http://schemas.openxmlformats.org/spreadsheetml/2006/main">
  <c r="E24" i="1" l="1"/>
  <c r="D24" i="1"/>
  <c r="G24" i="1" s="1"/>
  <c r="I23" i="1"/>
  <c r="H23" i="1"/>
  <c r="I22" i="1"/>
  <c r="D21" i="1"/>
  <c r="G21" i="1" s="1"/>
  <c r="I20" i="1"/>
  <c r="H20" i="1"/>
  <c r="D18" i="1"/>
  <c r="G18" i="1" s="1"/>
  <c r="I17" i="1"/>
  <c r="H17" i="1"/>
  <c r="D15" i="1"/>
  <c r="G15" i="1" s="1"/>
  <c r="I14" i="1"/>
  <c r="H14" i="1"/>
  <c r="F12" i="1"/>
  <c r="D12" i="1"/>
  <c r="G12" i="1" s="1"/>
  <c r="I11" i="1"/>
  <c r="H11" i="1"/>
  <c r="D9" i="1"/>
  <c r="G9" i="1" s="1"/>
  <c r="I8" i="1"/>
  <c r="H8" i="1"/>
  <c r="I24" i="1"/>
  <c r="H24" i="1"/>
  <c r="F24" i="1"/>
  <c r="F23" i="1"/>
  <c r="E23" i="1"/>
  <c r="D23" i="1"/>
  <c r="G23" i="1" s="1"/>
  <c r="H22" i="1"/>
  <c r="F22" i="1"/>
  <c r="E22" i="1"/>
  <c r="D22" i="1"/>
  <c r="G22" i="1" s="1"/>
  <c r="I21" i="1"/>
  <c r="H21" i="1"/>
  <c r="F21" i="1"/>
  <c r="E21" i="1"/>
  <c r="F20" i="1"/>
  <c r="E20" i="1"/>
  <c r="D20" i="1"/>
  <c r="G20" i="1" s="1"/>
  <c r="I19" i="1"/>
  <c r="H19" i="1"/>
  <c r="F19" i="1"/>
  <c r="E19" i="1"/>
  <c r="D19" i="1"/>
  <c r="G19" i="1" s="1"/>
  <c r="I18" i="1"/>
  <c r="H18" i="1"/>
  <c r="F18" i="1"/>
  <c r="E18" i="1"/>
  <c r="F17" i="1"/>
  <c r="E17" i="1"/>
  <c r="D17" i="1"/>
  <c r="G17" i="1" s="1"/>
  <c r="I16" i="1"/>
  <c r="H16" i="1"/>
  <c r="F16" i="1"/>
  <c r="E16" i="1"/>
  <c r="D16" i="1"/>
  <c r="G16" i="1" s="1"/>
  <c r="I15" i="1"/>
  <c r="H15" i="1"/>
  <c r="F15" i="1"/>
  <c r="E15" i="1"/>
  <c r="F14" i="1"/>
  <c r="E14" i="1"/>
  <c r="D14" i="1"/>
  <c r="G14" i="1" s="1"/>
  <c r="I13" i="1"/>
  <c r="H13" i="1"/>
  <c r="F13" i="1"/>
  <c r="E13" i="1"/>
  <c r="D13" i="1"/>
  <c r="G13" i="1" s="1"/>
  <c r="I12" i="1"/>
  <c r="H12" i="1"/>
  <c r="E12" i="1"/>
  <c r="F11" i="1"/>
  <c r="E11" i="1"/>
  <c r="D11" i="1"/>
  <c r="G11" i="1" s="1"/>
  <c r="I10" i="1"/>
  <c r="H10" i="1"/>
  <c r="F10" i="1"/>
  <c r="E10" i="1"/>
  <c r="D10" i="1"/>
  <c r="G10" i="1" s="1"/>
  <c r="I9" i="1"/>
  <c r="H9" i="1"/>
  <c r="F9" i="1"/>
  <c r="E9" i="1"/>
  <c r="F8" i="1"/>
  <c r="E8" i="1"/>
  <c r="D8" i="1"/>
  <c r="G8" i="1" s="1"/>
  <c r="I7" i="1"/>
  <c r="H7" i="1"/>
  <c r="F7" i="1"/>
  <c r="E7" i="1"/>
  <c r="D7" i="1"/>
  <c r="G7" i="1" s="1"/>
  <c r="I6" i="1"/>
  <c r="H6" i="1"/>
  <c r="F6" i="1"/>
  <c r="E6" i="1"/>
  <c r="E25" i="1" s="1"/>
  <c r="D6" i="1"/>
  <c r="D25" i="1" l="1"/>
  <c r="G6" i="1"/>
  <c r="G25" i="1" s="1"/>
  <c r="I25" i="1"/>
  <c r="H25" i="1"/>
  <c r="F25" i="1"/>
</calcChain>
</file>

<file path=xl/sharedStrings.xml><?xml version="1.0" encoding="utf-8"?>
<sst xmlns="http://schemas.openxmlformats.org/spreadsheetml/2006/main" count="283" uniqueCount="112">
  <si>
    <t>19 地区卫星拍摄日期汇总</t>
  </si>
  <si>
    <t>统计单位：地区 × 平台 × 日期。相同日期在不同平台分别计数。</t>
  </si>
  <si>
    <t>序号</t>
  </si>
  <si>
    <t>地区（中文）</t>
  </si>
  <si>
    <t>地区（英文）</t>
  </si>
  <si>
    <t>S1 日期数</t>
  </si>
  <si>
    <t>S2 日期数</t>
  </si>
  <si>
    <t>PlanetScope 日期数</t>
  </si>
  <si>
    <t>合计记录数</t>
  </si>
  <si>
    <t>最早日期</t>
  </si>
  <si>
    <t>最晚日期</t>
  </si>
  <si>
    <t>孟加拉国</t>
  </si>
  <si>
    <t>Bangladesh</t>
  </si>
  <si>
    <t>玻利维亚</t>
  </si>
  <si>
    <t>Bolivia</t>
  </si>
  <si>
    <t>柬埔寨</t>
  </si>
  <si>
    <t>Cambodia</t>
  </si>
  <si>
    <t>哥伦比亚</t>
  </si>
  <si>
    <t>Colombia</t>
  </si>
  <si>
    <t>加纳</t>
  </si>
  <si>
    <t>Ghana</t>
  </si>
  <si>
    <t>尼泊尔</t>
  </si>
  <si>
    <t>Nepal</t>
  </si>
  <si>
    <t>尼日利亚</t>
  </si>
  <si>
    <t>Nigeria</t>
  </si>
  <si>
    <t>巴拉圭</t>
  </si>
  <si>
    <t>Paraguay</t>
  </si>
  <si>
    <t>索马里</t>
  </si>
  <si>
    <t>Somalia</t>
  </si>
  <si>
    <t>西班牙</t>
  </si>
  <si>
    <t>Spain</t>
  </si>
  <si>
    <t>美国阿拉巴马州</t>
  </si>
  <si>
    <t>Alabama</t>
  </si>
  <si>
    <t>美国阿肯色州</t>
  </si>
  <si>
    <t>Arkansas</t>
  </si>
  <si>
    <t>美国卡罗来纳地区</t>
  </si>
  <si>
    <t>Carolina</t>
  </si>
  <si>
    <t>美国达科他地区</t>
  </si>
  <si>
    <t>Dakota</t>
  </si>
  <si>
    <t>美国堪萨斯州</t>
  </si>
  <si>
    <t>Kansas</t>
  </si>
  <si>
    <t>美国内布拉斯加州</t>
  </si>
  <si>
    <t>Nebraska</t>
  </si>
  <si>
    <t>美国俄克拉何马州</t>
  </si>
  <si>
    <t>Oklahoma</t>
  </si>
  <si>
    <t>美国得克萨斯州</t>
  </si>
  <si>
    <t>Texas</t>
  </si>
  <si>
    <t>乌兹别克斯坦</t>
  </si>
  <si>
    <t>Uzbekistan</t>
  </si>
  <si>
    <t>合计</t>
  </si>
  <si>
    <t>19 地区拍摄日期列表</t>
  </si>
  <si>
    <t>卫星平台</t>
  </si>
  <si>
    <t>完整拍摄日期列表</t>
  </si>
  <si>
    <t>S1</t>
  </si>
  <si>
    <t>2017-03-14；2017-03-16；2017-03-19；2017-03-21；2017-03-26；2017-03-31
2017-04-02；2017-04-07；2017-04-09；2017-04-12；2017-04-14；2017-04-19
2017-04-21；2017-04-24；2017-04-26；2017-05-01</t>
  </si>
  <si>
    <t>S2</t>
  </si>
  <si>
    <t>2017-03-23；2017-03-30；2017-04-12；2017-04-19；2017-05-02</t>
  </si>
  <si>
    <t>PlanetScope</t>
  </si>
  <si>
    <t>2017-03-14；2017-03-16；2017-03-17；2017-03-18；2017-03-19；2017-03-21
2017-03-22；2017-03-24；2017-03-25；2017-03-26；2017-03-27；2017-03-31
2017-04-01；2017-04-02；2017-04-04；2017-04-06；2017-04-07；2017-04-08
2017-04-09；2017-04-10；2017-04-11；2017-04-12；2017-04-13；2017-04-14
2017-04-15；2017-04-16；2017-04-17；2017-04-18；2017-04-19；2017-04-20
2017-04-23；2017-04-24；2017-04-25；2017-04-26；2017-04-27；2017-04-28
2017-04-29；2017-04-30；2017-05-01；2017-05-02</t>
  </si>
  <si>
    <t>2018-02-10；2018-02-15；2018-02-16；2018-02-17；2018-02-21</t>
  </si>
  <si>
    <t>2018-02-10；2018-02-13；2018-02-15；2018-02-18；2018-02-20</t>
  </si>
  <si>
    <t>2018-02-10；2018-02-11；2018-02-15；2018-02-17；2018-02-18；2018-02-19
2018-02-20；2018-02-21</t>
  </si>
  <si>
    <t>2018-07-16；2018-07-17；2018-07-18；2018-07-22；2018-07-23；2018-07-24
2018-07-25；2018-07-28；2018-07-29；2018-07-30；2018-08-03；2018-08-04
2018-08-05；2018-08-06</t>
  </si>
  <si>
    <t>2018-07-20；2018-07-25；2018-07-30；2018-08-04</t>
  </si>
  <si>
    <t>2018-07-16；2018-07-17；2018-07-18；2018-07-19；2018-07-20；2018-07-21
2018-07-22；2018-07-23；2018-07-24；2018-07-25；2018-07-26；2018-07-27
2018-07-28；2018-07-29；2018-07-30；2018-07-31；2018-08-01；2018-08-02
2018-08-03；2018-08-04；2018-08-05；2018-08-06</t>
  </si>
  <si>
    <t>2018-07-29；2018-08-05；2018-08-10；2018-08-17；2018-08-22；2018-08-23
2018-08-29；2018-09-03</t>
  </si>
  <si>
    <t>2018-08-03；2018-08-08；2018-08-13；2018-08-18；2018-08-23；2018-08-28
2018-09-02</t>
  </si>
  <si>
    <t>2018-07-29；2018-07-30；2018-07-31；2018-08-01；2018-08-02；2018-08-03
2018-08-04；2018-08-05；2018-08-06；2018-08-07；2018-08-08；2018-08-09
2018-08-10；2018-08-11；2018-08-12；2018-08-13；2018-08-14；2018-08-15
2018-08-16；2018-08-17；2018-08-18；2018-08-19；2018-08-20；2018-08-21
2018-08-22；2018-08-23；2018-08-24；2018-08-25；2018-08-26；2018-08-27
2018-08-28；2018-08-30；2018-08-31；2018-09-01；2018-09-02；2018-09-03
2018-09-04</t>
  </si>
  <si>
    <t>2018-09-06；2018-09-12；2018-09-18；2018-09-24；2018-09-30</t>
  </si>
  <si>
    <t>2018-09-02；2018-09-04；2018-09-07；2018-09-09；2018-09-12；2018-09-14
2018-09-17；2018-09-19；2018-09-22；2018-09-24；2018-09-27；2018-09-29
2018-10-02</t>
  </si>
  <si>
    <t>2018-09-01；2018-09-02；2018-09-03；2018-09-05；2018-09-06；2018-09-08
2018-09-10；2018-09-12；2018-09-13；2018-09-14；2018-09-15；2018-09-16
2018-09-17；2018-09-18；2018-09-19；2018-09-20；2018-09-21；2018-09-22
2018-09-23；2018-09-24；2018-09-25；2018-09-26；2018-09-27；2018-09-28
2018-09-29；2018-09-30；2018-10-01；2018-10-02</t>
  </si>
  <si>
    <t>2017-08-13；2017-08-16；2017-08-21；2017-08-25</t>
  </si>
  <si>
    <t>2017-08-24</t>
  </si>
  <si>
    <t>2017-08-15；2017-08-16；2017-08-20；2017-08-21；2017-08-22；2017-08-23
2017-08-24；2017-08-26</t>
  </si>
  <si>
    <t>2018-09-09；2018-09-16；2018-09-21；2018-09-22；2018-09-28</t>
  </si>
  <si>
    <t>2018-09-05；2018-09-08；2018-09-10；2018-09-13；2018-09-15；2018-09-18
2018-09-20；2018-09-23；2018-09-25；2018-09-28；2018-09-30</t>
  </si>
  <si>
    <t>2018-08-26；2018-08-27；2018-08-28；2018-08-29；2018-09-04；2018-09-06
2018-09-08；2018-09-12；2018-09-13；2018-09-14；2018-09-15；2018-09-16
2018-09-19；2018-09-20；2018-09-21；2018-09-22；2018-09-24；2018-09-25
2018-09-26；2018-09-30；2018-10-01；2018-10-02</t>
  </si>
  <si>
    <t>2018-10-31；2018-11-05</t>
  </si>
  <si>
    <t>2018-10-29；2018-10-31；2018-11-03；2018-11-05</t>
  </si>
  <si>
    <t>2018-10-29；2018-10-30；2018-10-31；2018-11-01；2018-11-02；2018-11-03
2018-11-04；2018-11-05；2018-11-06；2018-11-07</t>
  </si>
  <si>
    <t>2018-04-25；2018-04-26；2018-05-03；2018-05-07；2018-05-08；2018-05-13
2018-05-14；2018-05-15；2018-05-19；2018-05-20</t>
  </si>
  <si>
    <t>2018-04-25；2018-04-30；2018-05-05；2018-05-10；2018-05-15；2018-05-20</t>
  </si>
  <si>
    <t>2018-04-23；2018-04-24；2018-04-25；2018-04-26；2018-04-27；2018-04-28
2018-04-29；2018-04-30；2018-05-01；2018-05-02；2018-05-03；2018-05-04
2018-05-05；2018-05-06；2018-05-07；2018-05-08；2018-05-09；2018-05-10
2018-05-11；2018-05-12；2018-05-13；2018-05-14；2018-05-15；2018-05-16
2018-05-17；2018-05-18；2018-05-19；2018-05-20；2018-05-21</t>
  </si>
  <si>
    <t>2019-09-16；2019-09-17</t>
  </si>
  <si>
    <t>2019-09-13；2019-09-18</t>
  </si>
  <si>
    <t>2019-09-12；2019-09-13；2019-09-14；2019-09-15；2019-09-16；2019-09-17
2019-09-18；2019-09-19；2019-09-20</t>
  </si>
  <si>
    <t>2019-05-20；2019-05-25</t>
  </si>
  <si>
    <t>2019-05-21；2019-05-23；2019-05-25</t>
  </si>
  <si>
    <t>2019-05-20；2019-05-21；2019-05-22；2019-05-23；2019-05-24；2019-05-25
2019-05-26；2019-05-27</t>
  </si>
  <si>
    <t>2019-05-23；2019-05-24；2019-05-29</t>
  </si>
  <si>
    <t>2019-05-19；2019-05-24；2019-05-29；2019-06-03</t>
  </si>
  <si>
    <t>2019-05-18；2019-05-19；2019-05-20；2019-05-21；2019-05-22；2019-05-23
2019-05-24；2019-05-25；2019-05-26；2019-05-27；2019-05-28；2019-05-29
2019-05-30；2019-06-01；2019-06-02；2019-06-03；2019-06-04</t>
  </si>
  <si>
    <t>2018-09-24；2018-09-26；2018-10-01</t>
  </si>
  <si>
    <t>2018-09-21；2018-09-23；2018-09-26；2018-09-28；2018-10-01</t>
  </si>
  <si>
    <t>2018-09-16；2018-09-17；2018-09-18；2018-09-19；2018-09-20；2018-09-21
2018-09-22；2018-09-23；2018-09-24；2018-09-25；2018-09-26；2018-09-27
2018-09-28；2018-09-29；2018-09-30；2018-10-01；2018-10-02</t>
  </si>
  <si>
    <t>2019-06-04；2019-06-09</t>
  </si>
  <si>
    <t>2019-06-02；2019-06-03；2019-06-05；2019-06-07；2019-06-08；2019-06-10</t>
  </si>
  <si>
    <t>2019-05-21；2019-05-22；2019-05-23；2019-05-24；2019-05-25；2019-05-26
2019-05-27；2019-05-28；2019-05-29；2019-05-30；2019-05-31；2019-06-01
2019-06-02；2019-06-03；2019-06-04；2019-06-05；2019-06-06；2019-06-07
2019-06-08；2019-06-09；2019-06-10；2019-06-11</t>
  </si>
  <si>
    <t>2019-05-22</t>
  </si>
  <si>
    <t>2019-05-20；2019-05-22；2019-05-25；2019-05-27</t>
  </si>
  <si>
    <t>2017-09-29</t>
  </si>
  <si>
    <t>2017-09-30；2017-10-02</t>
  </si>
  <si>
    <t>2017-09-29；2017-09-30；2017-10-01；2017-10-02；2017-10-03；2017-10-04</t>
  </si>
  <si>
    <t>2019-05-21；2019-05-22；2019-05-27；2019-06-02</t>
  </si>
  <si>
    <t>2019-05-20；2019-05-22；2019-05-25；2019-05-27；2019-05-30；2019-06-01
2019-06-04</t>
  </si>
  <si>
    <t>2019-05-18；2019-05-19；2019-05-22；2019-05-23；2019-05-24；2019-05-25
2019-05-26；2019-05-27；2019-05-28；2019-05-29；2019-05-30；2019-05-31
2019-06-01；2019-06-02；2019-06-03；2019-06-04</t>
  </si>
  <si>
    <t>2017-08-29；2017-08-30；2017-09-04；2017-09-05</t>
  </si>
  <si>
    <t>2017-08-25；2017-08-27；2017-08-30；2017-09-01；2017-09-04；2017-09-06
2017-09-09</t>
  </si>
  <si>
    <t>2017-08-30；2017-08-31；2017-09-02；2017-09-04；2017-09-05；2017-09-06
2017-09-07；2017-09-08；2017-09-09</t>
  </si>
  <si>
    <t>2020-05-05；2020-05-10；2020-05-11</t>
  </si>
  <si>
    <t>2020-05-01；2020-05-04；2020-05-06；2020-05-09；2020-05-11</t>
  </si>
  <si>
    <t>2020-05-01；2020-05-02；2020-05-03；2020-05-04；2020-05-05；2020-05-06
2020-05-07；2020-05-08；2020-05-09；2020-05-10；2020-05-11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</si>
</sst>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0"/>
      <color rgb="FF243247"/>
      <name val="Arial"/>
      <family val="2"/>
    </font>
    <font>
      <b/>
      <sz val="10"/>
      <color rgb="FFFFFFFF"/>
      <name val="Arial"/>
      <family val="2"/>
    </font>
    <font>
      <b/>
      <sz val="15"/>
      <color rgb="FF243F60"/>
      <name val="Arial"/>
      <family val="2"/>
    </font>
    <font>
      <i/>
      <sz val="10"/>
      <color rgb="FF5E6B7D"/>
      <name val="Arial"/>
      <family val="2"/>
    </font>
    <font>
      <b/>
      <sz val="10"/>
      <color rgb="FF243247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3F60"/>
      </patternFill>
    </fill>
    <fill>
      <patternFill patternType="solid">
        <fgColor rgb="FFF0F4F8"/>
      </patternFill>
    </fill>
    <fill>
      <patternFill patternType="solid">
        <fgColor rgb="FFDCE6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176" fontId="1" fillId="0" borderId="0" xfId="1" applyNumberFormat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1" fillId="3" borderId="0" xfId="1" applyFont="1" applyFill="1" applyAlignment="1">
      <alignment vertical="center"/>
    </xf>
    <xf numFmtId="0" fontId="1" fillId="3" borderId="0" xfId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176" fontId="1" fillId="3" borderId="0" xfId="1" applyNumberFormat="1" applyFont="1" applyFill="1" applyAlignment="1">
      <alignment horizontal="right" vertical="center"/>
    </xf>
    <xf numFmtId="0" fontId="4" fillId="0" borderId="0" xfId="1" applyFont="1" applyAlignment="1">
      <alignment vertical="center"/>
    </xf>
    <xf numFmtId="0" fontId="5" fillId="4" borderId="0" xfId="1" applyFont="1" applyFill="1" applyAlignment="1">
      <alignment vertical="center"/>
    </xf>
    <xf numFmtId="3" fontId="1" fillId="3" borderId="0" xfId="1" applyNumberFormat="1" applyFont="1" applyFill="1" applyAlignment="1">
      <alignment horizontal="right" vertical="center"/>
    </xf>
    <xf numFmtId="3" fontId="1" fillId="0" borderId="0" xfId="1" applyNumberFormat="1" applyFont="1" applyAlignment="1">
      <alignment horizontal="right" vertical="center"/>
    </xf>
    <xf numFmtId="3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gionSummary" displayName="RegionSummary" ref="A5:I24" totalsRowShown="0">
  <autoFilter ref="A5:I24" xr:uid="{00000000-0009-0000-0100-000003000000}"/>
  <tableColumns count="9">
    <tableColumn id="1" xr3:uid="{00000000-0010-0000-0000-000001000000}" name="序号"/>
    <tableColumn id="2" xr3:uid="{00000000-0010-0000-0000-000002000000}" name="地区（中文）"/>
    <tableColumn id="3" xr3:uid="{00000000-0010-0000-0000-000003000000}" name="地区（英文）"/>
    <tableColumn id="4" xr3:uid="{00000000-0010-0000-0000-000004000000}" name="S1 日期数"/>
    <tableColumn id="5" xr3:uid="{00000000-0010-0000-0000-000005000000}" name="S2 日期数"/>
    <tableColumn id="6" xr3:uid="{00000000-0010-0000-0000-000006000000}" name="PlanetScope 日期数"/>
    <tableColumn id="7" xr3:uid="{00000000-0010-0000-0000-000007000000}" name="合计记录数"/>
    <tableColumn id="8" xr3:uid="{00000000-0010-0000-0000-000008000000}" name="最早日期"/>
    <tableColumn id="9" xr3:uid="{00000000-0010-0000-0000-000009000000}" name="最晚日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eLists" displayName="DateLists" ref="A4:D61" totalsRowShown="0">
  <autoFilter ref="A4:D61" xr:uid="{00000000-0009-0000-0100-000002000000}"/>
  <tableColumns count="4">
    <tableColumn id="1" xr3:uid="{00000000-0010-0000-0100-000001000000}" name="地区（中文）"/>
    <tableColumn id="2" xr3:uid="{00000000-0010-0000-0100-000002000000}" name="地区（英文）"/>
    <tableColumn id="3" xr3:uid="{00000000-0010-0000-0100-000003000000}" name="卫星平台"/>
    <tableColumn id="7" xr3:uid="{00000000-0010-0000-0100-000007000000}" name="完整拍摄日期列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F60"/>
  </sheetPr>
  <dimension ref="A1:I25"/>
  <sheetViews>
    <sheetView showGridLines="0" workbookViewId="0"/>
  </sheetViews>
  <sheetFormatPr defaultRowHeight="14"/>
  <cols>
    <col min="1" max="1" width="9" customWidth="1"/>
    <col min="2" max="2" width="25" customWidth="1"/>
    <col min="3" max="3" width="19" customWidth="1"/>
    <col min="4" max="5" width="14" customWidth="1"/>
    <col min="6" max="6" width="24" customWidth="1"/>
    <col min="7" max="9" width="17" customWidth="1"/>
  </cols>
  <sheetData>
    <row r="1" spans="1:9" ht="23" customHeight="1">
      <c r="A1" s="1"/>
      <c r="B1" s="1"/>
      <c r="C1" s="1"/>
      <c r="D1" s="1"/>
      <c r="E1" s="1"/>
      <c r="F1" s="1"/>
      <c r="G1" s="1"/>
      <c r="H1" s="1"/>
      <c r="I1" s="1"/>
    </row>
    <row r="2" spans="1:9" ht="28" customHeight="1">
      <c r="A2" s="4" t="s">
        <v>0</v>
      </c>
      <c r="B2" s="1"/>
      <c r="C2" s="1"/>
      <c r="D2" s="1"/>
      <c r="E2" s="1"/>
      <c r="F2" s="1"/>
      <c r="G2" s="1"/>
      <c r="H2" s="1"/>
      <c r="I2" s="1"/>
    </row>
    <row r="3" spans="1:9" ht="23" customHeight="1">
      <c r="A3" s="9" t="s">
        <v>1</v>
      </c>
      <c r="B3" s="1"/>
      <c r="C3" s="1"/>
      <c r="D3" s="1"/>
      <c r="E3" s="1"/>
      <c r="F3" s="1"/>
      <c r="G3" s="1"/>
      <c r="H3" s="1"/>
      <c r="I3" s="1"/>
    </row>
    <row r="4" spans="1:9" ht="23" customHeight="1">
      <c r="A4" s="1"/>
      <c r="B4" s="1"/>
      <c r="C4" s="1"/>
      <c r="D4" s="1"/>
      <c r="E4" s="1"/>
      <c r="F4" s="1"/>
      <c r="G4" s="1"/>
      <c r="H4" s="1"/>
      <c r="I4" s="1"/>
    </row>
    <row r="5" spans="1:9" ht="28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ht="23" customHeight="1">
      <c r="A6" s="5">
        <v>1</v>
      </c>
      <c r="B6" s="5" t="s">
        <v>11</v>
      </c>
      <c r="C6" s="5" t="s">
        <v>12</v>
      </c>
      <c r="D6" s="11" t="e">
        <f>日期列表!#REF!</f>
        <v>#REF!</v>
      </c>
      <c r="E6" s="11" t="e">
        <f>日期列表!#REF!</f>
        <v>#REF!</v>
      </c>
      <c r="F6" s="11" t="e">
        <f>日期列表!#REF!</f>
        <v>#REF!</v>
      </c>
      <c r="G6" s="11" t="e">
        <f t="shared" ref="G6:G24" si="0">SUM(D6:F6)</f>
        <v>#REF!</v>
      </c>
      <c r="H6" s="8" t="e">
        <f>MIN(日期列表!#REF!)</f>
        <v>#REF!</v>
      </c>
      <c r="I6" s="8" t="e">
        <f>MAX(日期列表!#REF!)</f>
        <v>#REF!</v>
      </c>
    </row>
    <row r="7" spans="1:9" ht="23" customHeight="1">
      <c r="A7" s="1">
        <v>2</v>
      </c>
      <c r="B7" s="1" t="s">
        <v>13</v>
      </c>
      <c r="C7" s="1" t="s">
        <v>14</v>
      </c>
      <c r="D7" s="12" t="e">
        <f>日期列表!#REF!</f>
        <v>#REF!</v>
      </c>
      <c r="E7" s="12" t="e">
        <f>日期列表!#REF!</f>
        <v>#REF!</v>
      </c>
      <c r="F7" s="12" t="e">
        <f>日期列表!#REF!</f>
        <v>#REF!</v>
      </c>
      <c r="G7" s="12" t="e">
        <f t="shared" si="0"/>
        <v>#REF!</v>
      </c>
      <c r="H7" s="3" t="e">
        <f>MIN(日期列表!#REF!)</f>
        <v>#REF!</v>
      </c>
      <c r="I7" s="3" t="e">
        <f>MAX(日期列表!#REF!)</f>
        <v>#REF!</v>
      </c>
    </row>
    <row r="8" spans="1:9" ht="23" customHeight="1">
      <c r="A8" s="5">
        <v>3</v>
      </c>
      <c r="B8" s="5" t="s">
        <v>15</v>
      </c>
      <c r="C8" s="5" t="s">
        <v>16</v>
      </c>
      <c r="D8" s="11" t="e">
        <f>日期列表!#REF!</f>
        <v>#REF!</v>
      </c>
      <c r="E8" s="11" t="e">
        <f>日期列表!#REF!</f>
        <v>#REF!</v>
      </c>
      <c r="F8" s="11" t="e">
        <f>日期列表!#REF!</f>
        <v>#REF!</v>
      </c>
      <c r="G8" s="11" t="e">
        <f t="shared" si="0"/>
        <v>#REF!</v>
      </c>
      <c r="H8" s="8" t="e">
        <f>MIN(日期列表!#REF!)</f>
        <v>#REF!</v>
      </c>
      <c r="I8" s="8" t="e">
        <f>MAX(日期列表!#REF!)</f>
        <v>#REF!</v>
      </c>
    </row>
    <row r="9" spans="1:9" ht="23" customHeight="1">
      <c r="A9" s="1">
        <v>4</v>
      </c>
      <c r="B9" s="1" t="s">
        <v>17</v>
      </c>
      <c r="C9" s="1" t="s">
        <v>18</v>
      </c>
      <c r="D9" s="12" t="e">
        <f>日期列表!#REF!</f>
        <v>#REF!</v>
      </c>
      <c r="E9" s="12" t="e">
        <f>日期列表!#REF!</f>
        <v>#REF!</v>
      </c>
      <c r="F9" s="12" t="e">
        <f>日期列表!#REF!</f>
        <v>#REF!</v>
      </c>
      <c r="G9" s="12" t="e">
        <f t="shared" si="0"/>
        <v>#REF!</v>
      </c>
      <c r="H9" s="3" t="e">
        <f>MIN(日期列表!#REF!)</f>
        <v>#REF!</v>
      </c>
      <c r="I9" s="3" t="e">
        <f>MAX(日期列表!#REF!)</f>
        <v>#REF!</v>
      </c>
    </row>
    <row r="10" spans="1:9" ht="23" customHeight="1">
      <c r="A10" s="5">
        <v>5</v>
      </c>
      <c r="B10" s="5" t="s">
        <v>19</v>
      </c>
      <c r="C10" s="5" t="s">
        <v>20</v>
      </c>
      <c r="D10" s="11" t="e">
        <f>日期列表!#REF!</f>
        <v>#REF!</v>
      </c>
      <c r="E10" s="11" t="e">
        <f>日期列表!#REF!</f>
        <v>#REF!</v>
      </c>
      <c r="F10" s="11" t="e">
        <f>日期列表!#REF!</f>
        <v>#REF!</v>
      </c>
      <c r="G10" s="11" t="e">
        <f t="shared" si="0"/>
        <v>#REF!</v>
      </c>
      <c r="H10" s="8" t="e">
        <f>MIN(日期列表!#REF!)</f>
        <v>#REF!</v>
      </c>
      <c r="I10" s="8" t="e">
        <f>MAX(日期列表!#REF!)</f>
        <v>#REF!</v>
      </c>
    </row>
    <row r="11" spans="1:9" ht="23" customHeight="1">
      <c r="A11" s="1">
        <v>6</v>
      </c>
      <c r="B11" s="1" t="s">
        <v>21</v>
      </c>
      <c r="C11" s="1" t="s">
        <v>22</v>
      </c>
      <c r="D11" s="12" t="e">
        <f>日期列表!#REF!</f>
        <v>#REF!</v>
      </c>
      <c r="E11" s="12" t="e">
        <f>日期列表!#REF!</f>
        <v>#REF!</v>
      </c>
      <c r="F11" s="12" t="e">
        <f>日期列表!#REF!</f>
        <v>#REF!</v>
      </c>
      <c r="G11" s="12" t="e">
        <f t="shared" si="0"/>
        <v>#REF!</v>
      </c>
      <c r="H11" s="3" t="e">
        <f>MIN(日期列表!#REF!)</f>
        <v>#REF!</v>
      </c>
      <c r="I11" s="3" t="e">
        <f>MAX(日期列表!#REF!)</f>
        <v>#REF!</v>
      </c>
    </row>
    <row r="12" spans="1:9" ht="23" customHeight="1">
      <c r="A12" s="5">
        <v>7</v>
      </c>
      <c r="B12" s="5" t="s">
        <v>23</v>
      </c>
      <c r="C12" s="5" t="s">
        <v>24</v>
      </c>
      <c r="D12" s="11" t="e">
        <f>日期列表!#REF!</f>
        <v>#REF!</v>
      </c>
      <c r="E12" s="11" t="e">
        <f>日期列表!#REF!</f>
        <v>#REF!</v>
      </c>
      <c r="F12" s="11" t="e">
        <f>日期列表!#REF!</f>
        <v>#REF!</v>
      </c>
      <c r="G12" s="11" t="e">
        <f t="shared" si="0"/>
        <v>#REF!</v>
      </c>
      <c r="H12" s="8" t="e">
        <f>MIN(日期列表!#REF!)</f>
        <v>#REF!</v>
      </c>
      <c r="I12" s="8" t="e">
        <f>MAX(日期列表!#REF!)</f>
        <v>#REF!</v>
      </c>
    </row>
    <row r="13" spans="1:9" ht="23" customHeight="1">
      <c r="A13" s="1">
        <v>8</v>
      </c>
      <c r="B13" s="1" t="s">
        <v>25</v>
      </c>
      <c r="C13" s="1" t="s">
        <v>26</v>
      </c>
      <c r="D13" s="12" t="e">
        <f>日期列表!#REF!</f>
        <v>#REF!</v>
      </c>
      <c r="E13" s="12" t="e">
        <f>日期列表!#REF!</f>
        <v>#REF!</v>
      </c>
      <c r="F13" s="12" t="e">
        <f>日期列表!#REF!</f>
        <v>#REF!</v>
      </c>
      <c r="G13" s="12" t="e">
        <f t="shared" si="0"/>
        <v>#REF!</v>
      </c>
      <c r="H13" s="3" t="e">
        <f>MIN(日期列表!#REF!)</f>
        <v>#REF!</v>
      </c>
      <c r="I13" s="3" t="e">
        <f>MAX(日期列表!#REF!)</f>
        <v>#REF!</v>
      </c>
    </row>
    <row r="14" spans="1:9" ht="23" customHeight="1">
      <c r="A14" s="5">
        <v>9</v>
      </c>
      <c r="B14" s="5" t="s">
        <v>27</v>
      </c>
      <c r="C14" s="5" t="s">
        <v>28</v>
      </c>
      <c r="D14" s="11" t="e">
        <f>日期列表!#REF!</f>
        <v>#REF!</v>
      </c>
      <c r="E14" s="11" t="e">
        <f>日期列表!#REF!</f>
        <v>#REF!</v>
      </c>
      <c r="F14" s="11" t="e">
        <f>日期列表!#REF!</f>
        <v>#REF!</v>
      </c>
      <c r="G14" s="11" t="e">
        <f t="shared" si="0"/>
        <v>#REF!</v>
      </c>
      <c r="H14" s="8" t="e">
        <f>MIN(日期列表!#REF!)</f>
        <v>#REF!</v>
      </c>
      <c r="I14" s="8" t="e">
        <f>MAX(日期列表!#REF!)</f>
        <v>#REF!</v>
      </c>
    </row>
    <row r="15" spans="1:9" ht="23" customHeight="1">
      <c r="A15" s="1">
        <v>10</v>
      </c>
      <c r="B15" s="1" t="s">
        <v>29</v>
      </c>
      <c r="C15" s="1" t="s">
        <v>30</v>
      </c>
      <c r="D15" s="12" t="e">
        <f>日期列表!#REF!</f>
        <v>#REF!</v>
      </c>
      <c r="E15" s="12" t="e">
        <f>日期列表!#REF!</f>
        <v>#REF!</v>
      </c>
      <c r="F15" s="12" t="e">
        <f>日期列表!#REF!</f>
        <v>#REF!</v>
      </c>
      <c r="G15" s="12" t="e">
        <f t="shared" si="0"/>
        <v>#REF!</v>
      </c>
      <c r="H15" s="3" t="e">
        <f>MIN(日期列表!#REF!)</f>
        <v>#REF!</v>
      </c>
      <c r="I15" s="3" t="e">
        <f>MAX(日期列表!#REF!)</f>
        <v>#REF!</v>
      </c>
    </row>
    <row r="16" spans="1:9" ht="23" customHeight="1">
      <c r="A16" s="5">
        <v>11</v>
      </c>
      <c r="B16" s="5" t="s">
        <v>31</v>
      </c>
      <c r="C16" s="5" t="s">
        <v>32</v>
      </c>
      <c r="D16" s="11" t="e">
        <f>日期列表!#REF!</f>
        <v>#REF!</v>
      </c>
      <c r="E16" s="11" t="e">
        <f>日期列表!#REF!</f>
        <v>#REF!</v>
      </c>
      <c r="F16" s="11" t="e">
        <f>日期列表!#REF!</f>
        <v>#REF!</v>
      </c>
      <c r="G16" s="11" t="e">
        <f t="shared" si="0"/>
        <v>#REF!</v>
      </c>
      <c r="H16" s="8" t="e">
        <f>MIN(日期列表!#REF!)</f>
        <v>#REF!</v>
      </c>
      <c r="I16" s="8" t="e">
        <f>MAX(日期列表!#REF!)</f>
        <v>#REF!</v>
      </c>
    </row>
    <row r="17" spans="1:9" ht="23" customHeight="1">
      <c r="A17" s="1">
        <v>12</v>
      </c>
      <c r="B17" s="1" t="s">
        <v>33</v>
      </c>
      <c r="C17" s="1" t="s">
        <v>34</v>
      </c>
      <c r="D17" s="12" t="e">
        <f>日期列表!#REF!</f>
        <v>#REF!</v>
      </c>
      <c r="E17" s="12" t="e">
        <f>日期列表!#REF!</f>
        <v>#REF!</v>
      </c>
      <c r="F17" s="12" t="e">
        <f>日期列表!#REF!</f>
        <v>#REF!</v>
      </c>
      <c r="G17" s="12" t="e">
        <f t="shared" si="0"/>
        <v>#REF!</v>
      </c>
      <c r="H17" s="3" t="e">
        <f>MIN(日期列表!#REF!)</f>
        <v>#REF!</v>
      </c>
      <c r="I17" s="3" t="e">
        <f>MAX(日期列表!#REF!)</f>
        <v>#REF!</v>
      </c>
    </row>
    <row r="18" spans="1:9" ht="23" customHeight="1">
      <c r="A18" s="5">
        <v>13</v>
      </c>
      <c r="B18" s="5" t="s">
        <v>35</v>
      </c>
      <c r="C18" s="5" t="s">
        <v>36</v>
      </c>
      <c r="D18" s="11" t="e">
        <f>日期列表!#REF!</f>
        <v>#REF!</v>
      </c>
      <c r="E18" s="11" t="e">
        <f>日期列表!#REF!</f>
        <v>#REF!</v>
      </c>
      <c r="F18" s="11" t="e">
        <f>日期列表!#REF!</f>
        <v>#REF!</v>
      </c>
      <c r="G18" s="11" t="e">
        <f t="shared" si="0"/>
        <v>#REF!</v>
      </c>
      <c r="H18" s="8" t="e">
        <f>MIN(日期列表!#REF!)</f>
        <v>#REF!</v>
      </c>
      <c r="I18" s="8" t="e">
        <f>MAX(日期列表!#REF!)</f>
        <v>#REF!</v>
      </c>
    </row>
    <row r="19" spans="1:9" ht="23" customHeight="1">
      <c r="A19" s="1">
        <v>14</v>
      </c>
      <c r="B19" s="1" t="s">
        <v>37</v>
      </c>
      <c r="C19" s="1" t="s">
        <v>38</v>
      </c>
      <c r="D19" s="12" t="e">
        <f>日期列表!#REF!</f>
        <v>#REF!</v>
      </c>
      <c r="E19" s="12" t="e">
        <f>日期列表!#REF!</f>
        <v>#REF!</v>
      </c>
      <c r="F19" s="12" t="e">
        <f>日期列表!#REF!</f>
        <v>#REF!</v>
      </c>
      <c r="G19" s="12" t="e">
        <f t="shared" si="0"/>
        <v>#REF!</v>
      </c>
      <c r="H19" s="3" t="e">
        <f>MIN(日期列表!#REF!)</f>
        <v>#REF!</v>
      </c>
      <c r="I19" s="3" t="e">
        <f>MAX(日期列表!#REF!)</f>
        <v>#REF!</v>
      </c>
    </row>
    <row r="20" spans="1:9" ht="23" customHeight="1">
      <c r="A20" s="5">
        <v>15</v>
      </c>
      <c r="B20" s="5" t="s">
        <v>39</v>
      </c>
      <c r="C20" s="5" t="s">
        <v>40</v>
      </c>
      <c r="D20" s="11" t="e">
        <f>日期列表!#REF!</f>
        <v>#REF!</v>
      </c>
      <c r="E20" s="11" t="e">
        <f>日期列表!#REF!</f>
        <v>#REF!</v>
      </c>
      <c r="F20" s="11" t="e">
        <f>日期列表!#REF!</f>
        <v>#REF!</v>
      </c>
      <c r="G20" s="11" t="e">
        <f t="shared" si="0"/>
        <v>#REF!</v>
      </c>
      <c r="H20" s="8" t="e">
        <f>MIN(日期列表!#REF!)</f>
        <v>#REF!</v>
      </c>
      <c r="I20" s="8" t="e">
        <f>MAX(日期列表!#REF!)</f>
        <v>#REF!</v>
      </c>
    </row>
    <row r="21" spans="1:9" ht="23" customHeight="1">
      <c r="A21" s="1">
        <v>16</v>
      </c>
      <c r="B21" s="1" t="s">
        <v>41</v>
      </c>
      <c r="C21" s="1" t="s">
        <v>42</v>
      </c>
      <c r="D21" s="12" t="e">
        <f>日期列表!#REF!</f>
        <v>#REF!</v>
      </c>
      <c r="E21" s="12" t="e">
        <f>日期列表!#REF!</f>
        <v>#REF!</v>
      </c>
      <c r="F21" s="12" t="e">
        <f>日期列表!#REF!</f>
        <v>#REF!</v>
      </c>
      <c r="G21" s="12" t="e">
        <f t="shared" si="0"/>
        <v>#REF!</v>
      </c>
      <c r="H21" s="3" t="e">
        <f>MIN(日期列表!#REF!)</f>
        <v>#REF!</v>
      </c>
      <c r="I21" s="3" t="e">
        <f>MAX(日期列表!#REF!)</f>
        <v>#REF!</v>
      </c>
    </row>
    <row r="22" spans="1:9" ht="23" customHeight="1">
      <c r="A22" s="5">
        <v>17</v>
      </c>
      <c r="B22" s="5" t="s">
        <v>43</v>
      </c>
      <c r="C22" s="5" t="s">
        <v>44</v>
      </c>
      <c r="D22" s="11" t="e">
        <f>日期列表!#REF!</f>
        <v>#REF!</v>
      </c>
      <c r="E22" s="11" t="e">
        <f>日期列表!#REF!</f>
        <v>#REF!</v>
      </c>
      <c r="F22" s="11" t="e">
        <f>日期列表!#REF!</f>
        <v>#REF!</v>
      </c>
      <c r="G22" s="11" t="e">
        <f t="shared" si="0"/>
        <v>#REF!</v>
      </c>
      <c r="H22" s="8" t="e">
        <f>MIN(日期列表!#REF!)</f>
        <v>#REF!</v>
      </c>
      <c r="I22" s="8" t="e">
        <f>MAX(日期列表!#REF!)</f>
        <v>#REF!</v>
      </c>
    </row>
    <row r="23" spans="1:9" ht="23" customHeight="1">
      <c r="A23" s="1">
        <v>18</v>
      </c>
      <c r="B23" s="1" t="s">
        <v>45</v>
      </c>
      <c r="C23" s="1" t="s">
        <v>46</v>
      </c>
      <c r="D23" s="12" t="e">
        <f>日期列表!#REF!</f>
        <v>#REF!</v>
      </c>
      <c r="E23" s="12" t="e">
        <f>日期列表!#REF!</f>
        <v>#REF!</v>
      </c>
      <c r="F23" s="12" t="e">
        <f>日期列表!#REF!</f>
        <v>#REF!</v>
      </c>
      <c r="G23" s="12" t="e">
        <f t="shared" si="0"/>
        <v>#REF!</v>
      </c>
      <c r="H23" s="3" t="e">
        <f>MIN(日期列表!#REF!)</f>
        <v>#REF!</v>
      </c>
      <c r="I23" s="3" t="e">
        <f>MAX(日期列表!#REF!)</f>
        <v>#REF!</v>
      </c>
    </row>
    <row r="24" spans="1:9" ht="23" customHeight="1">
      <c r="A24" s="5">
        <v>19</v>
      </c>
      <c r="B24" s="5" t="s">
        <v>47</v>
      </c>
      <c r="C24" s="5" t="s">
        <v>48</v>
      </c>
      <c r="D24" s="11" t="e">
        <f>日期列表!#REF!</f>
        <v>#REF!</v>
      </c>
      <c r="E24" s="11" t="e">
        <f>日期列表!#REF!</f>
        <v>#REF!</v>
      </c>
      <c r="F24" s="11" t="e">
        <f>日期列表!#REF!</f>
        <v>#REF!</v>
      </c>
      <c r="G24" s="11" t="e">
        <f t="shared" si="0"/>
        <v>#REF!</v>
      </c>
      <c r="H24" s="8" t="e">
        <f>MIN(日期列表!#REF!)</f>
        <v>#REF!</v>
      </c>
      <c r="I24" s="8" t="e">
        <f>MAX(日期列表!#REF!)</f>
        <v>#REF!</v>
      </c>
    </row>
    <row r="25" spans="1:9" ht="23" customHeight="1">
      <c r="A25" s="10"/>
      <c r="B25" s="10" t="s">
        <v>49</v>
      </c>
      <c r="C25" s="10"/>
      <c r="D25" s="13" t="e">
        <f>SUM(D6:D24)</f>
        <v>#REF!</v>
      </c>
      <c r="E25" s="13" t="e">
        <f>SUM(E6:E24)</f>
        <v>#REF!</v>
      </c>
      <c r="F25" s="13" t="e">
        <f>SUM(F6:F24)</f>
        <v>#REF!</v>
      </c>
      <c r="G25" s="13" t="e">
        <f>SUM(G6:G24)</f>
        <v>#REF!</v>
      </c>
      <c r="H25" s="14" t="e">
        <f>MIN(H6:H24)</f>
        <v>#REF!</v>
      </c>
      <c r="I25" s="14" t="e">
        <f>MAX(I6:I24)</f>
        <v>#REF!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showGridLines="0" tabSelected="1" workbookViewId="0">
      <pane ySplit="4" topLeftCell="A5" activePane="bottomLeft" state="frozen"/>
      <selection pane="bottomLeft" activeCell="G14" sqref="G14"/>
    </sheetView>
  </sheetViews>
  <sheetFormatPr defaultRowHeight="14"/>
  <cols>
    <col min="1" max="1" width="25" customWidth="1"/>
    <col min="2" max="2" width="19" customWidth="1"/>
    <col min="3" max="3" width="18" customWidth="1"/>
    <col min="4" max="4" width="15" customWidth="1"/>
    <col min="5" max="6" width="17" customWidth="1"/>
    <col min="7" max="7" width="92" customWidth="1"/>
  </cols>
  <sheetData>
    <row r="1" spans="1:7" ht="23" customHeight="1">
      <c r="A1" s="1"/>
      <c r="B1" s="1"/>
      <c r="C1" s="1"/>
      <c r="D1" s="1"/>
      <c r="E1" s="1"/>
      <c r="F1" s="1"/>
      <c r="G1" s="1"/>
    </row>
    <row r="2" spans="1:7" ht="28" customHeight="1">
      <c r="A2" s="4" t="s">
        <v>50</v>
      </c>
      <c r="B2" s="1"/>
      <c r="C2" s="1"/>
      <c r="D2" s="1"/>
      <c r="E2" s="1"/>
      <c r="F2" s="1"/>
      <c r="G2" s="1"/>
    </row>
    <row r="3" spans="1:7" ht="23" customHeight="1">
      <c r="A3" s="1"/>
      <c r="B3" s="1"/>
      <c r="C3" s="1"/>
      <c r="D3" s="1"/>
      <c r="E3" s="1"/>
      <c r="F3" s="1"/>
      <c r="G3" s="1"/>
    </row>
    <row r="4" spans="1:7" ht="28" customHeight="1">
      <c r="A4" s="2" t="s">
        <v>3</v>
      </c>
      <c r="B4" s="2" t="s">
        <v>4</v>
      </c>
      <c r="C4" s="2" t="s">
        <v>51</v>
      </c>
      <c r="D4" s="2" t="s">
        <v>52</v>
      </c>
    </row>
    <row r="5" spans="1:7" ht="58" customHeight="1">
      <c r="A5" s="5" t="s">
        <v>11</v>
      </c>
      <c r="B5" s="5" t="s">
        <v>12</v>
      </c>
      <c r="C5" s="5" t="s">
        <v>53</v>
      </c>
      <c r="D5" s="6" t="s">
        <v>54</v>
      </c>
    </row>
    <row r="6" spans="1:7" ht="29" customHeight="1">
      <c r="A6" s="5" t="s">
        <v>11</v>
      </c>
      <c r="B6" s="5" t="s">
        <v>12</v>
      </c>
      <c r="C6" s="5" t="s">
        <v>55</v>
      </c>
      <c r="D6" s="6" t="s">
        <v>56</v>
      </c>
    </row>
    <row r="7" spans="1:7" ht="122" customHeight="1">
      <c r="A7" s="5" t="s">
        <v>11</v>
      </c>
      <c r="B7" s="5" t="s">
        <v>12</v>
      </c>
      <c r="C7" s="5" t="s">
        <v>57</v>
      </c>
      <c r="D7" s="6" t="s">
        <v>58</v>
      </c>
    </row>
    <row r="8" spans="1:7" ht="29" customHeight="1">
      <c r="A8" s="1" t="s">
        <v>13</v>
      </c>
      <c r="B8" s="1" t="s">
        <v>14</v>
      </c>
      <c r="C8" s="1" t="s">
        <v>53</v>
      </c>
      <c r="D8" s="7" t="s">
        <v>59</v>
      </c>
    </row>
    <row r="9" spans="1:7" ht="29" customHeight="1">
      <c r="A9" s="1" t="s">
        <v>13</v>
      </c>
      <c r="B9" s="1" t="s">
        <v>14</v>
      </c>
      <c r="C9" s="1" t="s">
        <v>55</v>
      </c>
      <c r="D9" s="7" t="s">
        <v>60</v>
      </c>
    </row>
    <row r="10" spans="1:7" ht="42" customHeight="1">
      <c r="A10" s="1" t="s">
        <v>13</v>
      </c>
      <c r="B10" s="1" t="s">
        <v>14</v>
      </c>
      <c r="C10" s="1" t="s">
        <v>57</v>
      </c>
      <c r="D10" s="7" t="s">
        <v>61</v>
      </c>
    </row>
    <row r="11" spans="1:7" ht="58" customHeight="1">
      <c r="A11" s="5" t="s">
        <v>15</v>
      </c>
      <c r="B11" s="5" t="s">
        <v>16</v>
      </c>
      <c r="C11" s="5" t="s">
        <v>53</v>
      </c>
      <c r="D11" s="6" t="s">
        <v>62</v>
      </c>
    </row>
    <row r="12" spans="1:7" ht="29" customHeight="1">
      <c r="A12" s="5" t="s">
        <v>15</v>
      </c>
      <c r="B12" s="5" t="s">
        <v>16</v>
      </c>
      <c r="C12" s="5" t="s">
        <v>55</v>
      </c>
      <c r="D12" s="6" t="s">
        <v>63</v>
      </c>
    </row>
    <row r="13" spans="1:7" ht="74" customHeight="1">
      <c r="A13" s="5" t="s">
        <v>15</v>
      </c>
      <c r="B13" s="5" t="s">
        <v>16</v>
      </c>
      <c r="C13" s="5" t="s">
        <v>57</v>
      </c>
      <c r="D13" s="6" t="s">
        <v>64</v>
      </c>
    </row>
    <row r="14" spans="1:7" ht="42" customHeight="1">
      <c r="A14" s="1" t="s">
        <v>17</v>
      </c>
      <c r="B14" s="1" t="s">
        <v>18</v>
      </c>
      <c r="C14" s="1" t="s">
        <v>53</v>
      </c>
      <c r="D14" s="7" t="s">
        <v>65</v>
      </c>
    </row>
    <row r="15" spans="1:7" ht="42" customHeight="1">
      <c r="A15" s="1" t="s">
        <v>17</v>
      </c>
      <c r="B15" s="1" t="s">
        <v>18</v>
      </c>
      <c r="C15" s="1" t="s">
        <v>55</v>
      </c>
      <c r="D15" s="7" t="s">
        <v>66</v>
      </c>
    </row>
    <row r="16" spans="1:7" ht="122" customHeight="1">
      <c r="A16" s="1" t="s">
        <v>17</v>
      </c>
      <c r="B16" s="1" t="s">
        <v>18</v>
      </c>
      <c r="C16" s="1" t="s">
        <v>57</v>
      </c>
      <c r="D16" s="7" t="s">
        <v>67</v>
      </c>
    </row>
    <row r="17" spans="1:4" ht="29" customHeight="1">
      <c r="A17" s="5" t="s">
        <v>19</v>
      </c>
      <c r="B17" s="5" t="s">
        <v>20</v>
      </c>
      <c r="C17" s="5" t="s">
        <v>53</v>
      </c>
      <c r="D17" s="6" t="s">
        <v>68</v>
      </c>
    </row>
    <row r="18" spans="1:4" ht="58" customHeight="1">
      <c r="A18" s="5" t="s">
        <v>19</v>
      </c>
      <c r="B18" s="5" t="s">
        <v>20</v>
      </c>
      <c r="C18" s="5" t="s">
        <v>55</v>
      </c>
      <c r="D18" s="6" t="s">
        <v>69</v>
      </c>
    </row>
    <row r="19" spans="1:4" ht="90" customHeight="1">
      <c r="A19" s="5" t="s">
        <v>19</v>
      </c>
      <c r="B19" s="5" t="s">
        <v>20</v>
      </c>
      <c r="C19" s="5" t="s">
        <v>57</v>
      </c>
      <c r="D19" s="6" t="s">
        <v>70</v>
      </c>
    </row>
    <row r="20" spans="1:4" ht="29" customHeight="1">
      <c r="A20" s="1" t="s">
        <v>21</v>
      </c>
      <c r="B20" s="1" t="s">
        <v>22</v>
      </c>
      <c r="C20" s="1" t="s">
        <v>53</v>
      </c>
      <c r="D20" s="7" t="s">
        <v>71</v>
      </c>
    </row>
    <row r="21" spans="1:4" ht="29" customHeight="1">
      <c r="A21" s="1" t="s">
        <v>21</v>
      </c>
      <c r="B21" s="1" t="s">
        <v>22</v>
      </c>
      <c r="C21" s="1" t="s">
        <v>55</v>
      </c>
      <c r="D21" s="7" t="s">
        <v>72</v>
      </c>
    </row>
    <row r="22" spans="1:4" ht="42" customHeight="1">
      <c r="A22" s="1" t="s">
        <v>21</v>
      </c>
      <c r="B22" s="1" t="s">
        <v>22</v>
      </c>
      <c r="C22" s="1" t="s">
        <v>57</v>
      </c>
      <c r="D22" s="7" t="s">
        <v>73</v>
      </c>
    </row>
    <row r="23" spans="1:4" ht="29" customHeight="1">
      <c r="A23" s="5" t="s">
        <v>23</v>
      </c>
      <c r="B23" s="5" t="s">
        <v>24</v>
      </c>
      <c r="C23" s="5" t="s">
        <v>53</v>
      </c>
      <c r="D23" s="6" t="s">
        <v>74</v>
      </c>
    </row>
    <row r="24" spans="1:4" ht="42" customHeight="1">
      <c r="A24" s="5" t="s">
        <v>23</v>
      </c>
      <c r="B24" s="5" t="s">
        <v>24</v>
      </c>
      <c r="C24" s="5" t="s">
        <v>55</v>
      </c>
      <c r="D24" s="6" t="s">
        <v>75</v>
      </c>
    </row>
    <row r="25" spans="1:4" ht="74" customHeight="1">
      <c r="A25" s="5" t="s">
        <v>23</v>
      </c>
      <c r="B25" s="5" t="s">
        <v>24</v>
      </c>
      <c r="C25" s="5" t="s">
        <v>57</v>
      </c>
      <c r="D25" s="6" t="s">
        <v>76</v>
      </c>
    </row>
    <row r="26" spans="1:4" ht="29" customHeight="1">
      <c r="A26" s="1" t="s">
        <v>25</v>
      </c>
      <c r="B26" s="1" t="s">
        <v>26</v>
      </c>
      <c r="C26" s="1" t="s">
        <v>53</v>
      </c>
      <c r="D26" s="7" t="s">
        <v>77</v>
      </c>
    </row>
    <row r="27" spans="1:4" ht="29" customHeight="1">
      <c r="A27" s="1" t="s">
        <v>25</v>
      </c>
      <c r="B27" s="1" t="s">
        <v>26</v>
      </c>
      <c r="C27" s="1" t="s">
        <v>55</v>
      </c>
      <c r="D27" s="7" t="s">
        <v>78</v>
      </c>
    </row>
    <row r="28" spans="1:4" ht="42" customHeight="1">
      <c r="A28" s="1" t="s">
        <v>25</v>
      </c>
      <c r="B28" s="1" t="s">
        <v>26</v>
      </c>
      <c r="C28" s="1" t="s">
        <v>57</v>
      </c>
      <c r="D28" s="7" t="s">
        <v>79</v>
      </c>
    </row>
    <row r="29" spans="1:4" ht="42" customHeight="1">
      <c r="A29" s="5" t="s">
        <v>27</v>
      </c>
      <c r="B29" s="5" t="s">
        <v>28</v>
      </c>
      <c r="C29" s="5" t="s">
        <v>53</v>
      </c>
      <c r="D29" s="6" t="s">
        <v>80</v>
      </c>
    </row>
    <row r="30" spans="1:4" ht="29" customHeight="1">
      <c r="A30" s="5" t="s">
        <v>27</v>
      </c>
      <c r="B30" s="5" t="s">
        <v>28</v>
      </c>
      <c r="C30" s="5" t="s">
        <v>55</v>
      </c>
      <c r="D30" s="6" t="s">
        <v>81</v>
      </c>
    </row>
    <row r="31" spans="1:4" ht="90" customHeight="1">
      <c r="A31" s="5" t="s">
        <v>27</v>
      </c>
      <c r="B31" s="5" t="s">
        <v>28</v>
      </c>
      <c r="C31" s="5" t="s">
        <v>57</v>
      </c>
      <c r="D31" s="6" t="s">
        <v>82</v>
      </c>
    </row>
    <row r="32" spans="1:4" ht="29" customHeight="1">
      <c r="A32" s="1" t="s">
        <v>29</v>
      </c>
      <c r="B32" s="1" t="s">
        <v>30</v>
      </c>
      <c r="C32" s="1" t="s">
        <v>53</v>
      </c>
      <c r="D32" s="7" t="s">
        <v>83</v>
      </c>
    </row>
    <row r="33" spans="1:4" ht="29" customHeight="1">
      <c r="A33" s="1" t="s">
        <v>29</v>
      </c>
      <c r="B33" s="1" t="s">
        <v>30</v>
      </c>
      <c r="C33" s="1" t="s">
        <v>55</v>
      </c>
      <c r="D33" s="7" t="s">
        <v>84</v>
      </c>
    </row>
    <row r="34" spans="1:4" ht="42" customHeight="1">
      <c r="A34" s="1" t="s">
        <v>29</v>
      </c>
      <c r="B34" s="1" t="s">
        <v>30</v>
      </c>
      <c r="C34" s="1" t="s">
        <v>57</v>
      </c>
      <c r="D34" s="7" t="s">
        <v>85</v>
      </c>
    </row>
    <row r="35" spans="1:4" ht="29" customHeight="1">
      <c r="A35" s="5" t="s">
        <v>31</v>
      </c>
      <c r="B35" s="5" t="s">
        <v>32</v>
      </c>
      <c r="C35" s="5" t="s">
        <v>53</v>
      </c>
      <c r="D35" s="6" t="s">
        <v>86</v>
      </c>
    </row>
    <row r="36" spans="1:4" ht="29" customHeight="1">
      <c r="A36" s="5" t="s">
        <v>31</v>
      </c>
      <c r="B36" s="5" t="s">
        <v>32</v>
      </c>
      <c r="C36" s="5" t="s">
        <v>55</v>
      </c>
      <c r="D36" s="6" t="s">
        <v>87</v>
      </c>
    </row>
    <row r="37" spans="1:4" ht="42" customHeight="1">
      <c r="A37" s="5" t="s">
        <v>31</v>
      </c>
      <c r="B37" s="5" t="s">
        <v>32</v>
      </c>
      <c r="C37" s="5" t="s">
        <v>57</v>
      </c>
      <c r="D37" s="6" t="s">
        <v>88</v>
      </c>
    </row>
    <row r="38" spans="1:4" ht="29" customHeight="1">
      <c r="A38" s="1" t="s">
        <v>33</v>
      </c>
      <c r="B38" s="1" t="s">
        <v>34</v>
      </c>
      <c r="C38" s="1" t="s">
        <v>53</v>
      </c>
      <c r="D38" s="7" t="s">
        <v>89</v>
      </c>
    </row>
    <row r="39" spans="1:4" ht="29" customHeight="1">
      <c r="A39" s="1" t="s">
        <v>33</v>
      </c>
      <c r="B39" s="1" t="s">
        <v>34</v>
      </c>
      <c r="C39" s="1" t="s">
        <v>55</v>
      </c>
      <c r="D39" s="7" t="s">
        <v>90</v>
      </c>
    </row>
    <row r="40" spans="1:4" ht="58" customHeight="1">
      <c r="A40" s="1" t="s">
        <v>33</v>
      </c>
      <c r="B40" s="1" t="s">
        <v>34</v>
      </c>
      <c r="C40" s="1" t="s">
        <v>57</v>
      </c>
      <c r="D40" s="7" t="s">
        <v>91</v>
      </c>
    </row>
    <row r="41" spans="1:4" ht="29" customHeight="1">
      <c r="A41" s="5" t="s">
        <v>35</v>
      </c>
      <c r="B41" s="5" t="s">
        <v>36</v>
      </c>
      <c r="C41" s="5" t="s">
        <v>53</v>
      </c>
      <c r="D41" s="6" t="s">
        <v>92</v>
      </c>
    </row>
    <row r="42" spans="1:4" ht="29" customHeight="1">
      <c r="A42" s="5" t="s">
        <v>35</v>
      </c>
      <c r="B42" s="5" t="s">
        <v>36</v>
      </c>
      <c r="C42" s="5" t="s">
        <v>55</v>
      </c>
      <c r="D42" s="6" t="s">
        <v>93</v>
      </c>
    </row>
    <row r="43" spans="1:4" ht="58" customHeight="1">
      <c r="A43" s="5" t="s">
        <v>35</v>
      </c>
      <c r="B43" s="5" t="s">
        <v>36</v>
      </c>
      <c r="C43" s="5" t="s">
        <v>57</v>
      </c>
      <c r="D43" s="6" t="s">
        <v>94</v>
      </c>
    </row>
    <row r="44" spans="1:4" ht="29" customHeight="1">
      <c r="A44" s="1" t="s">
        <v>37</v>
      </c>
      <c r="B44" s="1" t="s">
        <v>38</v>
      </c>
      <c r="C44" s="1" t="s">
        <v>53</v>
      </c>
      <c r="D44" s="7" t="s">
        <v>95</v>
      </c>
    </row>
    <row r="45" spans="1:4" ht="29" customHeight="1">
      <c r="A45" s="1" t="s">
        <v>37</v>
      </c>
      <c r="B45" s="1" t="s">
        <v>38</v>
      </c>
      <c r="C45" s="1" t="s">
        <v>55</v>
      </c>
      <c r="D45" s="7" t="s">
        <v>96</v>
      </c>
    </row>
    <row r="46" spans="1:4" ht="74" customHeight="1">
      <c r="A46" s="1" t="s">
        <v>37</v>
      </c>
      <c r="B46" s="1" t="s">
        <v>38</v>
      </c>
      <c r="C46" s="1" t="s">
        <v>57</v>
      </c>
      <c r="D46" s="7" t="s">
        <v>97</v>
      </c>
    </row>
    <row r="47" spans="1:4" ht="29" customHeight="1">
      <c r="A47" s="5" t="s">
        <v>39</v>
      </c>
      <c r="B47" s="5" t="s">
        <v>40</v>
      </c>
      <c r="C47" s="5" t="s">
        <v>53</v>
      </c>
      <c r="D47" s="6" t="s">
        <v>98</v>
      </c>
    </row>
    <row r="48" spans="1:4" ht="29" customHeight="1">
      <c r="A48" s="5" t="s">
        <v>39</v>
      </c>
      <c r="B48" s="5" t="s">
        <v>40</v>
      </c>
      <c r="C48" s="5" t="s">
        <v>55</v>
      </c>
      <c r="D48" s="6" t="s">
        <v>99</v>
      </c>
    </row>
    <row r="49" spans="1:4" ht="42" customHeight="1">
      <c r="A49" s="5" t="s">
        <v>39</v>
      </c>
      <c r="B49" s="5" t="s">
        <v>40</v>
      </c>
      <c r="C49" s="5" t="s">
        <v>57</v>
      </c>
      <c r="D49" s="6" t="s">
        <v>88</v>
      </c>
    </row>
    <row r="50" spans="1:4" ht="29" customHeight="1">
      <c r="A50" s="1" t="s">
        <v>41</v>
      </c>
      <c r="B50" s="1" t="s">
        <v>42</v>
      </c>
      <c r="C50" s="1" t="s">
        <v>53</v>
      </c>
      <c r="D50" s="7" t="s">
        <v>100</v>
      </c>
    </row>
    <row r="51" spans="1:4" ht="29" customHeight="1">
      <c r="A51" s="1" t="s">
        <v>41</v>
      </c>
      <c r="B51" s="1" t="s">
        <v>42</v>
      </c>
      <c r="C51" s="1" t="s">
        <v>55</v>
      </c>
      <c r="D51" s="7" t="s">
        <v>101</v>
      </c>
    </row>
    <row r="52" spans="1:4" ht="29" customHeight="1">
      <c r="A52" s="1" t="s">
        <v>41</v>
      </c>
      <c r="B52" s="1" t="s">
        <v>42</v>
      </c>
      <c r="C52" s="1" t="s">
        <v>57</v>
      </c>
      <c r="D52" s="7" t="s">
        <v>102</v>
      </c>
    </row>
    <row r="53" spans="1:4" ht="29" customHeight="1">
      <c r="A53" s="5" t="s">
        <v>43</v>
      </c>
      <c r="B53" s="5" t="s">
        <v>44</v>
      </c>
      <c r="C53" s="5" t="s">
        <v>53</v>
      </c>
      <c r="D53" s="6" t="s">
        <v>103</v>
      </c>
    </row>
    <row r="54" spans="1:4" ht="42" customHeight="1">
      <c r="A54" s="5" t="s">
        <v>43</v>
      </c>
      <c r="B54" s="5" t="s">
        <v>44</v>
      </c>
      <c r="C54" s="5" t="s">
        <v>55</v>
      </c>
      <c r="D54" s="6" t="s">
        <v>104</v>
      </c>
    </row>
    <row r="55" spans="1:4" ht="58" customHeight="1">
      <c r="A55" s="5" t="s">
        <v>43</v>
      </c>
      <c r="B55" s="5" t="s">
        <v>44</v>
      </c>
      <c r="C55" s="5" t="s">
        <v>57</v>
      </c>
      <c r="D55" s="6" t="s">
        <v>105</v>
      </c>
    </row>
    <row r="56" spans="1:4" ht="29" customHeight="1">
      <c r="A56" s="1" t="s">
        <v>45</v>
      </c>
      <c r="B56" s="1" t="s">
        <v>46</v>
      </c>
      <c r="C56" s="1" t="s">
        <v>53</v>
      </c>
      <c r="D56" s="7" t="s">
        <v>106</v>
      </c>
    </row>
    <row r="57" spans="1:4" ht="42" customHeight="1">
      <c r="A57" s="1" t="s">
        <v>45</v>
      </c>
      <c r="B57" s="1" t="s">
        <v>46</v>
      </c>
      <c r="C57" s="1" t="s">
        <v>55</v>
      </c>
      <c r="D57" s="7" t="s">
        <v>107</v>
      </c>
    </row>
    <row r="58" spans="1:4" ht="42" customHeight="1">
      <c r="A58" s="1" t="s">
        <v>45</v>
      </c>
      <c r="B58" s="1" t="s">
        <v>46</v>
      </c>
      <c r="C58" s="1" t="s">
        <v>57</v>
      </c>
      <c r="D58" s="7" t="s">
        <v>108</v>
      </c>
    </row>
    <row r="59" spans="1:4" ht="29" customHeight="1">
      <c r="A59" s="5" t="s">
        <v>47</v>
      </c>
      <c r="B59" s="5" t="s">
        <v>48</v>
      </c>
      <c r="C59" s="5" t="s">
        <v>53</v>
      </c>
      <c r="D59" s="6" t="s">
        <v>109</v>
      </c>
    </row>
    <row r="60" spans="1:4" ht="29" customHeight="1">
      <c r="A60" s="5" t="s">
        <v>47</v>
      </c>
      <c r="B60" s="5" t="s">
        <v>48</v>
      </c>
      <c r="C60" s="5" t="s">
        <v>55</v>
      </c>
      <c r="D60" s="6" t="s">
        <v>110</v>
      </c>
    </row>
    <row r="61" spans="1:4" ht="42" customHeight="1">
      <c r="A61" s="5" t="s">
        <v>47</v>
      </c>
      <c r="B61" s="5" t="s">
        <v>48</v>
      </c>
      <c r="C61" s="5" t="s">
        <v>57</v>
      </c>
      <c r="D61" s="6" t="s">
        <v>111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地区汇总</vt:lpstr>
      <vt:lpstr>日期列表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饭团 一只</cp:lastModifiedBy>
  <dcterms:modified xsi:type="dcterms:W3CDTF">2026-10-30T09:46:12Z</dcterms:modified>
</cp:coreProperties>
</file>